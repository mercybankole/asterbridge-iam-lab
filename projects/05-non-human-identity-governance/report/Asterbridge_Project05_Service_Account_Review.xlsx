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bb003fd01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ea28155a914402"/>
    <x:sheet xmlns:r="http://schemas.openxmlformats.org/officeDocument/2006/relationships" name="Initial Inventory" sheetId="2" r:id="Rb0af9f12920342e2"/>
    <x:sheet xmlns:r="http://schemas.openxmlformats.org/officeDocument/2006/relationships" name="Orphan After" sheetId="3" r:id="Re6f6031b01bd4d79"/>
    <x:sheet xmlns:r="http://schemas.openxmlformats.org/officeDocument/2006/relationships" name="Findings" sheetId="4" r:id="R070301add1824256"/>
    <x:sheet xmlns:r="http://schemas.openxmlformats.org/officeDocument/2006/relationships" name="Evidence Index" sheetId="5" r:id="Rf9c3c16f5252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576579"/>
      <x:name val="Carlito"/>
    </x:font>
    <x:font>
      <x:b/>
      <x:sz val="10"/>
      <x:color rgb="FFFFFFFF"/>
      <x:name val="Carlito"/>
    </x:font>
    <x:font>
      <x:b/>
      <x:sz val="12"/>
      <x:color rgb="FF293449"/>
      <x:name val="Carlito"/>
    </x:font>
    <x:font>
      <x:b/>
      <x:sz val="11"/>
      <x:color rgb="FF9A3B2B"/>
      <x:name val="Carlito"/>
    </x:font>
    <x:font>
      <x:b/>
      <x:sz val="11"/>
      <x:color rgb="FF2364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3449"/>
      </x:patternFill>
    </x:fill>
    <x:fill>
      <x:patternFill patternType="solid">
        <x:fgColor rgb="FFF4F0F3"/>
      </x:patternFill>
    </x:fill>
    <x:fill>
      <x:patternFill patternType="solid">
        <x:fgColor rgb="FF906784"/>
      </x:patternFill>
    </x:fill>
    <x:fill>
      <x:patternFill patternType="solid">
        <x:fgColor rgb="FFFFF1EA"/>
      </x:patternFill>
    </x:fill>
    <x:fill>
      <x:patternFill patternType="solid">
        <x:fgColor rgb="FFE7F3E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d4ef4284c4727" /><Relationship Type="http://schemas.openxmlformats.org/officeDocument/2006/relationships/theme" Target="/xl/theme/theme1.xml" Id="R919f152731cd4f4a" /><Relationship Type="http://schemas.openxmlformats.org/officeDocument/2006/relationships/sharedStrings" Target="/xl/sharedStrings.xml" Id="R298ff49d27b541cb" /><Relationship Type="http://schemas.openxmlformats.org/officeDocument/2006/relationships/worksheet" Target="/xl/worksheets/sheet1.xml" Id="Rffea28155a914402" /><Relationship Type="http://schemas.openxmlformats.org/officeDocument/2006/relationships/worksheet" Target="/xl/worksheets/sheet2.xml" Id="Rb0af9f12920342e2" /><Relationship Type="http://schemas.openxmlformats.org/officeDocument/2006/relationships/worksheet" Target="/xl/worksheets/sheet3.xml" Id="Re6f6031b01bd4d79" /><Relationship Type="http://schemas.openxmlformats.org/officeDocument/2006/relationships/worksheet" Target="/xl/worksheets/sheet4.xml" Id="R070301add1824256" /><Relationship Type="http://schemas.openxmlformats.org/officeDocument/2006/relationships/worksheet" Target="/xl/worksheets/sheet5.xml" Id="Rf9c3c16f5252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83" hidden="0" customWidth="1"/>
  </x:cols>
  <x:sheetData>
    <x:row r="1" ht="36" customHeight="1">
      <x:c r="A1" s="4" t="str">
        <x:v>Asterbridge | Service account review</x:v>
      </x:c>
      <x:c r="B1" s="4"/>
      <x:c r="C1" s="4"/>
    </x:row>
    <x:row r="2" ht="32" customHeight="1">
      <x:c r="A2" s="11" t="str">
        <x:v>Project 05  •  October 15, 2026  •  Simulated service-account governance exercise</x:v>
      </x:c>
      <x:c r="B2" s="11"/>
      <x:c r="C2" s="11"/>
    </x:row>
    <x:row r="4" ht="27" customHeight="1">
      <x:c r="A4" s="19" t="str">
        <x:v>Measure</x:v>
      </x:c>
      <x:c r="B4" s="19" t="str">
        <x:v>Value</x:v>
      </x:c>
      <x:c r="C4" s="19" t="str">
        <x:v>Notes</x:v>
      </x:c>
    </x:row>
    <x:row r="5" ht="40" customHeight="1">
      <x:c r="A5" s="26" t="str">
        <x:v>Accounts in the reviewed list</x:v>
      </x:c>
      <x:c r="B5" s="28" t="n">
        <x:f>COUNTA('Initial Inventory'!A5:A7)</x:f>
        <x:v>3</x:v>
      </x:c>
      <x:c r="C5" s="26" t="str">
        <x:v>Three named AD accounts, not an organization-wide discovery</x:v>
      </x:c>
    </x:row>
    <x:row r="6" ht="40" customHeight="1">
      <x:c r="A6" s="26" t="str">
        <x:v>Accounts initially enabled</x:v>
      </x:c>
      <x:c r="B6" s="28" t="n">
        <x:f>COUNTIF('Initial Inventory'!B5:B7,"True")</x:f>
        <x:v>2</x:v>
      </x:c>
      <x:c r="C6" s="26" t="str">
        <x:v>From original inventory before remediation</x:v>
      </x:c>
    </x:row>
    <x:row r="7" ht="40" customHeight="1">
      <x:c r="A7" s="26" t="str">
        <x:v>Potential orphans flagged</x:v>
      </x:c>
      <x:c r="B7" s="28" t="n">
        <x:f>COUNTIF('Initial Inventory'!H5:H7,"Potential Orphan")</x:f>
        <x:v>1</x:v>
      </x:c>
      <x:c r="C7" s="26" t="str">
        <x:v>Based on simulated metadata and enabled state</x:v>
      </x:c>
    </x:row>
    <x:row r="8" ht="40" customHeight="1">
      <x:c r="A8" s="26" t="str">
        <x:v>Orphaned identity remediated</x:v>
      </x:c>
      <x:c r="B8" s="28" t="n">
        <x:v>1</x:v>
      </x:c>
      <x:c r="C8" s="26" t="str">
        <x:v>svc-legacy-reports: disabled, backup group memberships removed</x:v>
      </x:c>
    </x:row>
    <x:row r="9" ht="40" customHeight="1">
      <x:c r="A9" s="26" t="str">
        <x:v>Application dependencies checked</x:v>
      </x:c>
      <x:c r="B9" s="26" t="str">
        <x:v>2 machines</x:v>
      </x:c>
      <x:c r="C9" s="26" t="str">
        <x:v>DC01 and WS01: no matching services or scheduled tasks</x:v>
      </x:c>
    </x:row>
    <x:row r="10" ht="40" customHeight="1">
      <x:c r="A10" s="26" t="str">
        <x:v>Effective backup task test</x:v>
      </x:c>
      <x:c r="B10" s="26" t="str">
        <x:v>Not verified</x:v>
      </x:c>
      <x:c r="C10" s="26" t="str">
        <x:v>NTFS ACLs configured; task testing unfinished</x:v>
      </x:c>
    </x:row>
    <x:row r="11" ht="40" customHeight="1">
      <x:c r="A11" s="26" t="str">
        <x:v>Manager approval</x:v>
      </x:c>
      <x:c r="B11" s="26" t="str">
        <x:v>Simulated</x:v>
      </x:c>
      <x:c r="C11" s="26" t="str">
        <x:v>No independent sign-off occurred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58" hidden="0" customWidth="1"/>
    <x:col min="4" max="4" width="27" hidden="0" customWidth="1"/>
    <x:col min="5" max="5" width="28" hidden="0" customWidth="1"/>
    <x:col min="6" max="6" width="23" hidden="0" customWidth="1"/>
    <x:col min="7" max="7" width="65" hidden="0" customWidth="1"/>
    <x:col min="8" max="8" width="23" hidden="0" customWidth="1"/>
  </x:cols>
  <x:sheetData>
    <x:row r="1" ht="36" customHeight="1">
      <x:c r="A1" s="4" t="str">
        <x:v>Initial service-account inventory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Directly transcribed from Service-Account-Inventory.csv, before remediation</x:v>
      </x:c>
      <x:c r="B2" s="11"/>
      <x:c r="C2" s="11"/>
      <x:c r="D2" s="11"/>
      <x:c r="E2" s="11"/>
      <x:c r="F2" s="11"/>
      <x:c r="G2" s="11"/>
      <x:c r="H2" s="11"/>
    </x:row>
    <x:row r="4" ht="27" customHeight="1">
      <x:c r="A4" s="19" t="str">
        <x:v>Account</x:v>
      </x:c>
      <x:c r="B4" s="19" t="str">
        <x:v>Enabled</x:v>
      </x:c>
      <x:c r="C4" s="19" t="str">
        <x:v>Description</x:v>
      </x:c>
      <x:c r="D4" s="19" t="str">
        <x:v>Created</x:v>
      </x:c>
      <x:c r="E4" s="19" t="str">
        <x:v>LastLogon</x:v>
      </x:c>
      <x:c r="F4" s="19" t="str">
        <x:v>PasswordNeverExpires</x:v>
      </x:c>
      <x:c r="G4" s="19" t="str">
        <x:v>Groups</x:v>
      </x:c>
      <x:c r="H4" s="19" t="str">
        <x:v>ReviewStatus</x:v>
      </x:c>
    </x:row>
    <x:row r="5" ht="40" customHeight="1">
      <x:c r="A5" s="26" t="str">
        <x:v>OktaService</x:v>
      </x:c>
      <x:c r="B5" s="26" t="str">
        <x:v>True</x:v>
      </x:c>
      <x:c r="C5" s="26" t="str"/>
      <x:c r="D5" s="26" t="str">
        <x:v>10/14/2026 11:25:08 PM</x:v>
      </x:c>
      <x:c r="E5" s="26" t="str">
        <x:v>10/14/2026 11:25:19 PM</x:v>
      </x:c>
      <x:c r="F5" s="26" t="str">
        <x:v>True</x:v>
      </x:c>
      <x:c r="G5" s="26" t="str">
        <x:v>Domain Users</x:v>
      </x:c>
      <x:c r="H5" s="26" t="str">
        <x:v>No Orphan Flag</x:v>
      </x:c>
    </x:row>
    <x:row r="6" ht="40" customHeight="1">
      <x:c r="A6" s="26" t="str">
        <x:v>svc-clinic-backup</x:v>
      </x:c>
      <x:c r="B6" s="26" t="str">
        <x:v>False</x:v>
      </x:c>
      <x:c r="C6" s="26" t="str">
        <x:v>LAB ONLY | Clinic backup | Owner: IT and Security</x:v>
      </x:c>
      <x:c r="D6" s="26" t="str">
        <x:v>10/15/2026 3:05:43 PM</x:v>
      </x:c>
      <x:c r="E6" s="26" t="str">
        <x:v>10/15/2026 4:20:38 PM</x:v>
      </x:c>
      <x:c r="F6" s="26" t="str">
        <x:v>False</x:v>
      </x:c>
      <x:c r="G6" s="26" t="str">
        <x:v>Domain Users; GRP-SVC-Backup-Read; GRP-SVC-Backup-Write</x:v>
      </x:c>
      <x:c r="H6" s="26" t="str">
        <x:v>No Orphan Flag</x:v>
      </x:c>
    </x:row>
    <x:row r="7" ht="40" customHeight="1">
      <x:c r="A7" s="26" t="str">
        <x:v>svc-legacy-reports</x:v>
      </x:c>
      <x:c r="B7" s="26" t="str">
        <x:v>True</x:v>
      </x:c>
      <x:c r="C7" s="26" t="str">
        <x:v>LAB ONLY | Retired reporting application | Owner: Unassigned</x:v>
      </x:c>
      <x:c r="D7" s="26" t="str">
        <x:v>10/15/2026 3:06:31 PM</x:v>
      </x:c>
      <x:c r="E7" s="26" t="str"/>
      <x:c r="F7" s="26" t="str">
        <x:v>False</x:v>
      </x:c>
      <x:c r="G7" s="26" t="str">
        <x:v>Domain Users; GRP-SVC-Backup-Read; GRP-SVC-Backup-Write</x:v>
      </x:c>
      <x:c r="H7" s="31" t="str">
        <x:v>Potential Orphan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65" hidden="0" customWidth="1"/>
    <x:col min="4" max="4" width="55" hidden="0" customWidth="1"/>
    <x:col min="5" max="5" width="21" hidden="0" customWidth="1"/>
  </x:cols>
  <x:sheetData>
    <x:row r="1" ht="36" customHeight="1">
      <x:c r="A1" s="4" t="str">
        <x:v>Orphan account | post-remediation</x:v>
      </x:c>
      <x:c r="B1" s="4"/>
      <x:c r="C1" s="4"/>
      <x:c r="D1" s="4"/>
      <x:c r="E1" s="4"/>
    </x:row>
    <x:row r="2" ht="32" customHeight="1">
      <x:c r="A2" s="11" t="str">
        <x:v>Directly transcribed from Orphan-PostRemediation.csv. Other account states were not re-exported.</x:v>
      </x:c>
      <x:c r="B2" s="11"/>
      <x:c r="C2" s="11"/>
      <x:c r="D2" s="11"/>
      <x:c r="E2" s="11"/>
    </x:row>
    <x:row r="4" ht="27" customHeight="1">
      <x:c r="A4" s="19" t="str">
        <x:v>Account</x:v>
      </x:c>
      <x:c r="B4" s="19" t="str">
        <x:v>Enabled</x:v>
      </x:c>
      <x:c r="C4" s="19" t="str">
        <x:v>Description</x:v>
      </x:c>
      <x:c r="D4" s="19" t="str">
        <x:v>Groups</x:v>
      </x:c>
      <x:c r="E4" s="19" t="str">
        <x:v>ReviewStatus</x:v>
      </x:c>
    </x:row>
    <x:row r="5" ht="40" customHeight="1">
      <x:c r="A5" s="26" t="str">
        <x:v>svc-legacy-reports</x:v>
      </x:c>
      <x:c r="B5" s="26" t="str">
        <x:v>False</x:v>
      </x:c>
      <x:c r="C5" s="26" t="str">
        <x:v>LAB ONLY | Retired reporting application | Owner: Unassigned</x:v>
      </x:c>
      <x:c r="D5" s="26" t="str">
        <x:v>Domain Users</x:v>
      </x:c>
      <x:c r="E5" s="35" t="str">
        <x:v>Remediated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75" hidden="0" customWidth="1"/>
    <x:col min="4" max="4" width="95" hidden="0" customWidth="1"/>
    <x:col min="5" max="5" width="22" hidden="0" customWidth="1"/>
  </x:cols>
  <x:sheetData>
    <x:row r="1" ht="36" customHeight="1">
      <x:c r="A1" s="4" t="str">
        <x:v>Findings and follow-up</x:v>
      </x:c>
      <x:c r="B1" s="4"/>
      <x:c r="C1" s="4"/>
      <x:c r="D1" s="4"/>
      <x:c r="E1" s="4"/>
    </x:row>
    <x:row r="2" ht="32" customHeight="1">
      <x:c r="A2" s="11" t="str">
        <x:v>Only the deliberately introduced orphan account was remediated in this exercise</x:v>
      </x:c>
      <x:c r="B2" s="11"/>
      <x:c r="C2" s="11"/>
      <x:c r="D2" s="11"/>
      <x:c r="E2" s="11"/>
    </x:row>
    <x:row r="4" ht="27" customHeight="1">
      <x:c r="A4" s="19" t="str">
        <x:v>ID</x:v>
      </x:c>
      <x:c r="B4" s="19" t="str">
        <x:v>Identity</x:v>
      </x:c>
      <x:c r="C4" s="19" t="str">
        <x:v>Observation</x:v>
      </x:c>
      <x:c r="D4" s="19" t="str">
        <x:v>Action / Next step</x:v>
      </x:c>
      <x:c r="E4" s="19" t="str">
        <x:v>Status</x:v>
      </x:c>
    </x:row>
    <x:row r="5" ht="40" customHeight="1">
      <x:c r="A5" s="26" t="str">
        <x:v>NHI-F01</x:v>
      </x:c>
      <x:c r="B5" s="26" t="str">
        <x:v>svc-legacy-reports</x:v>
      </x:c>
      <x:c r="C5" s="26" t="str">
        <x:v>Retired application, owner unassigned; account enabled with two backup groups</x:v>
      </x:c>
      <x:c r="D5" s="26" t="str">
        <x:v>Disabled account; removed Read and Write memberships; verified Domain Users only</x:v>
      </x:c>
      <x:c r="E5" s="26" t="str">
        <x:v>Remediated (lab)</x:v>
      </x:c>
    </x:row>
    <x:row r="6" ht="40" customHeight="1">
      <x:c r="A6" s="26" t="str">
        <x:v>NHI-OBS01</x:v>
      </x:c>
      <x:c r="B6" s="26" t="str">
        <x:v>OktaService</x:v>
      </x:c>
      <x:c r="C6" s="26" t="str">
        <x:v>Description blank, password non-expiring; other permissions/rotation practice not assessed</x:v>
      </x:c>
      <x:c r="D6" s="26" t="str">
        <x:v>Document owner; check Azure VM permissions and rotation controls before changing account</x:v>
      </x:c>
      <x:c r="E6" s="26" t="str">
        <x:v>Open observation</x:v>
      </x:c>
    </x:row>
    <x:row r="7" ht="40" customHeight="1">
      <x:c r="A7" s="26" t="str">
        <x:v>NHI-OBS02</x:v>
      </x:c>
      <x:c r="B7" s="26" t="str">
        <x:v>svc-clinic-backup</x:v>
      </x:c>
      <x:c r="C7" s="26" t="str">
        <x:v>NTFS ACL configuration captured; effective Scheduled Task test not verified</x:v>
      </x:c>
      <x:c r="D7" s="26" t="str">
        <x:v>If revisited, finish test and verify temporary task and batch-logon right cleanup</x:v>
      </x:c>
      <x:c r="E7" s="26" t="str">
        <x:v>Not tested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05" hidden="0" customWidth="1"/>
  </x:cols>
  <x:sheetData>
    <x:row r="1" ht="36" customHeight="1">
      <x:c r="A1" s="4" t="str">
        <x:v>Evidence index</x:v>
      </x:c>
      <x:c r="B1" s="4"/>
      <x:c r="C1" s="4"/>
    </x:row>
    <x:row r="2" ht="32" customHeight="1">
      <x:c r="A2" s="11" t="str">
        <x:v>Matching PNG screenshots are included in the GitHub evidence package</x:v>
      </x:c>
      <x:c r="B2" s="11"/>
      <x:c r="C2" s="11"/>
    </x:row>
    <x:row r="4" ht="27" customHeight="1">
      <x:c r="A4" s="19" t="str">
        <x:v>Reference</x:v>
      </x:c>
      <x:c r="B4" s="19" t="str">
        <x:v>Evidence</x:v>
      </x:c>
      <x:c r="C4" s="19" t="str">
        <x:v>Result shown</x:v>
      </x:c>
    </x:row>
    <x:row r="5" ht="40" customHeight="1">
      <x:c r="A5" s="26" t="str">
        <x:v>E01</x:v>
      </x:c>
      <x:c r="B5" s="26" t="str">
        <x:v>Service OU discovery</x:v>
      </x:c>
      <x:c r="C5" s="26" t="str">
        <x:v>OU exists; OktaService is in default Users container</x:v>
      </x:c>
    </x:row>
    <x:row r="6" ht="40" customHeight="1">
      <x:c r="A6" s="26" t="str">
        <x:v>E02</x:v>
      </x:c>
      <x:c r="B6" s="26" t="str">
        <x:v>OktaService account review</x:v>
      </x:c>
      <x:c r="C6" s="26" t="str">
        <x:v>Domain Users only; password never expires, no SPNs listed</x:v>
      </x:c>
    </x:row>
    <x:row r="7" ht="40" customHeight="1">
      <x:c r="A7" s="26" t="str">
        <x:v>E03</x:v>
      </x:c>
      <x:c r="B7" s="26" t="str">
        <x:v>Test account creation</x:v>
      </x:c>
      <x:c r="C7" s="26" t="str">
        <x:v>Two test service identities created disabled</x:v>
      </x:c>
    </x:row>
    <x:row r="8" ht="40" customHeight="1">
      <x:c r="A8" s="26" t="str">
        <x:v>E04</x:v>
      </x:c>
      <x:c r="B8" s="26" t="str">
        <x:v>Backup group membership</x:v>
      </x:c>
      <x:c r="C8" s="26" t="str">
        <x:v>Backup Read and Write groups assigned</x:v>
      </x:c>
    </x:row>
    <x:row r="9" ht="40" customHeight="1">
      <x:c r="A9" s="26" t="str">
        <x:v>E05</x:v>
      </x:c>
      <x:c r="B9" s="26" t="str">
        <x:v>NTFS permissions</x:v>
      </x:c>
      <x:c r="C9" s="26" t="str">
        <x:v>Source RX and destination Modify ACLs configured</x:v>
      </x:c>
    </x:row>
    <x:row r="10" ht="40" customHeight="1">
      <x:c r="A10" s="26" t="str">
        <x:v>E06</x:v>
      </x:c>
      <x:c r="B10" s="26" t="str">
        <x:v>Backup account disabled</x:v>
      </x:c>
      <x:c r="C10" s="26" t="str">
        <x:v>Temporarily enabled account returned to disabled</x:v>
      </x:c>
    </x:row>
    <x:row r="11" ht="40" customHeight="1">
      <x:c r="A11" s="26" t="str">
        <x:v>E07</x:v>
      </x:c>
      <x:c r="B11" s="26" t="str">
        <x:v>Orphan scenario</x:v>
      </x:c>
      <x:c r="C11" s="26" t="str">
        <x:v>Retired reporting account enabled, extra memberships added</x:v>
      </x:c>
    </x:row>
    <x:row r="12" ht="40" customHeight="1">
      <x:c r="A12" s="26" t="str">
        <x:v>E08</x:v>
      </x:c>
      <x:c r="B12" s="26" t="str">
        <x:v>Initial inventory</x:v>
      </x:c>
      <x:c r="C12" s="26" t="str">
        <x:v>Potential Orphan flag identified</x:v>
      </x:c>
    </x:row>
    <x:row r="13" ht="40" customHeight="1">
      <x:c r="A13" s="26" t="str">
        <x:v>E09</x:v>
      </x:c>
      <x:c r="B13" s="26" t="str">
        <x:v>DC dependency check</x:v>
      </x:c>
      <x:c r="C13" s="26" t="str">
        <x:v>0 matching services and 0 scheduled tasks</x:v>
      </x:c>
    </x:row>
    <x:row r="14" ht="40" customHeight="1">
      <x:c r="A14" s="26" t="str">
        <x:v>E10</x:v>
      </x:c>
      <x:c r="B14" s="26" t="str">
        <x:v>WS dependency check</x:v>
      </x:c>
      <x:c r="C14" s="26" t="str">
        <x:v>0 matching services and 0 scheduled tasks</x:v>
      </x:c>
    </x:row>
    <x:row r="15" ht="40" customHeight="1">
      <x:c r="A15" s="26" t="str">
        <x:v>E11</x:v>
      </x:c>
      <x:c r="B15" s="26" t="str">
        <x:v>Final verification</x:v>
      </x:c>
      <x:c r="C15" s="26" t="str">
        <x:v>Disabled and group memberships removed; CSV exported</x:v>
      </x:c>
    </x:row>
  </x:sheetData>
  <x:mergeCells>
    <x:mergeCell ref="A1:C1"/>
    <x:mergeCell ref="A2:C2"/>
  </x:mergeCells>
  <x:pageMargins left="0.7" right="0.7" top="0.75" bottom="0.75" header="0.3" footer="0.3"/>
</x:worksheet>
</file>